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_he\Downloads\"/>
    </mc:Choice>
  </mc:AlternateContent>
  <xr:revisionPtr revIDLastSave="0" documentId="8_{AA158FF8-60BD-4A86-B333-56A0924EC7F4}" xr6:coauthVersionLast="47" xr6:coauthVersionMax="47" xr10:uidLastSave="{00000000-0000-0000-0000-000000000000}"/>
  <bookViews>
    <workbookView xWindow="10245" yWindow="0" windowWidth="10245" windowHeight="10920" xr2:uid="{02B12482-8B2E-44C6-81F9-F4BC34F341CB}"/>
  </bookViews>
  <sheets>
    <sheet name="Planilha1" sheetId="1" r:id="rId1"/>
    <sheet name="Planilha2" sheetId="2" r:id="rId2"/>
  </sheets>
  <definedNames>
    <definedName name="Aporte">Planilha1!$D$15</definedName>
    <definedName name="dividentos_mensais">Planilha1!$D$19</definedName>
    <definedName name="patrimonio">Planilha1!$D$18</definedName>
    <definedName name="quantidade_anos">Planilha1!$D$16</definedName>
    <definedName name="Rendimento_Carteira">Planilha1!$D$11</definedName>
    <definedName name="salario">Planilha1!$D$10</definedName>
    <definedName name="sugestao_investimento">Planilha1!$D$12</definedName>
    <definedName name="taxa_mensal">Planilha1!$D$17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C37" i="1"/>
  <c r="C38" i="1"/>
  <c r="C39" i="1"/>
  <c r="C40" i="1"/>
  <c r="C41" i="1"/>
  <c r="C36" i="1"/>
  <c r="F3" i="2"/>
  <c r="G3" i="2" s="1"/>
  <c r="G4" i="2"/>
  <c r="A14" i="2"/>
  <c r="A10" i="2"/>
  <c r="A11" i="2"/>
  <c r="A12" i="2"/>
  <c r="A13" i="2"/>
  <c r="A16" i="2"/>
  <c r="A17" i="2"/>
  <c r="A18" i="2"/>
  <c r="A19" i="2"/>
  <c r="A20" i="2"/>
  <c r="A15" i="2"/>
  <c r="A9" i="2"/>
  <c r="A4" i="2"/>
  <c r="A5" i="2"/>
  <c r="A6" i="2"/>
  <c r="A7" i="2"/>
  <c r="A8" i="2"/>
  <c r="A3" i="2"/>
  <c r="D15" i="1"/>
  <c r="C33" i="1" s="1"/>
  <c r="D41" i="1" l="1"/>
  <c r="D40" i="1"/>
  <c r="D39" i="1"/>
  <c r="D38" i="1"/>
  <c r="D36" i="1"/>
  <c r="D37" i="1"/>
  <c r="D42" i="1"/>
  <c r="C22" i="1"/>
  <c r="D22" i="1" s="1"/>
  <c r="D18" i="1"/>
  <c r="D19" i="1" s="1"/>
  <c r="C24" i="1"/>
  <c r="D24" i="1" s="1"/>
  <c r="C25" i="1"/>
  <c r="D25" i="1" s="1"/>
  <c r="C26" i="1"/>
  <c r="D26" i="1" s="1"/>
  <c r="C27" i="1"/>
  <c r="D27" i="1" s="1"/>
  <c r="C23" i="1"/>
  <c r="D23" i="1" s="1"/>
</calcChain>
</file>

<file path=xl/sharedStrings.xml><?xml version="1.0" encoding="utf-8"?>
<sst xmlns="http://schemas.openxmlformats.org/spreadsheetml/2006/main" count="72" uniqueCount="36">
  <si>
    <t>INVESTIMENTO MENSAL</t>
  </si>
  <si>
    <t>Quanto investir por mes ?</t>
  </si>
  <si>
    <t>Por quantos anos investir ?</t>
  </si>
  <si>
    <t>Taxa de rendimento mensal ?</t>
  </si>
  <si>
    <t>Quanto de patrimonio acumulado terei?</t>
  </si>
  <si>
    <t xml:space="preserve">Dividendos mensais </t>
  </si>
  <si>
    <t>Quanto em 2 anos?</t>
  </si>
  <si>
    <t>Quanto em 5 anos?</t>
  </si>
  <si>
    <t>Quanto em 10 anos?</t>
  </si>
  <si>
    <t>Quanto em 15 anos?</t>
  </si>
  <si>
    <t>Quanto em 20 anos?</t>
  </si>
  <si>
    <t>Quanto em 30 anos?</t>
  </si>
  <si>
    <t>CENÁRIOS</t>
  </si>
  <si>
    <t>DIVIDENDO</t>
  </si>
  <si>
    <t>CONFIGURAÇÕES</t>
  </si>
  <si>
    <t>RENDIMENTO CARTEIRA</t>
  </si>
  <si>
    <t>SALÁRIO</t>
  </si>
  <si>
    <t>SUGESTÃO DE INVESTIMENTO</t>
  </si>
  <si>
    <t xml:space="preserve">  </t>
  </si>
  <si>
    <t>Agressivo</t>
  </si>
  <si>
    <t>PERFIL</t>
  </si>
  <si>
    <t>Conservador</t>
  </si>
  <si>
    <t>Moderado</t>
  </si>
  <si>
    <t>VALOR A SER INVESTIDO POR MÊS</t>
  </si>
  <si>
    <t>TIPO DE FII</t>
  </si>
  <si>
    <t>PAPEL</t>
  </si>
  <si>
    <t>TIJOLO</t>
  </si>
  <si>
    <t>HIBRIDOS</t>
  </si>
  <si>
    <t>FOFs</t>
  </si>
  <si>
    <t>DESENVOLVIMENTO</t>
  </si>
  <si>
    <t>HOTELARIAS</t>
  </si>
  <si>
    <t>VALORES</t>
  </si>
  <si>
    <t>PERCENTUAL SUGERIDO</t>
  </si>
  <si>
    <t>perfil</t>
  </si>
  <si>
    <t>%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</si>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</sst>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5" formatCode="&quot;R$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0"/>
      <name val="Segoe UI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4"/>
      <color theme="1"/>
      <name val="Segoe UI"/>
      <family val="2"/>
    </font>
    <font>
      <b/>
      <sz val="11"/>
      <color theme="7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thin">
        <color indexed="64"/>
      </top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medium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medium">
        <color indexed="64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0" applyFont="1"/>
    <xf numFmtId="0" fontId="0" fillId="0" borderId="0" xfId="0" applyFill="1"/>
    <xf numFmtId="0" fontId="3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left" vertical="center" indent="3"/>
    </xf>
    <xf numFmtId="0" fontId="6" fillId="4" borderId="18" xfId="0" applyFont="1" applyFill="1" applyBorder="1" applyAlignment="1">
      <alignment horizontal="left" vertical="center" indent="3"/>
    </xf>
    <xf numFmtId="165" fontId="6" fillId="0" borderId="19" xfId="1" applyNumberFormat="1" applyFont="1" applyBorder="1" applyAlignment="1">
      <alignment horizontal="center" vertical="center"/>
    </xf>
    <xf numFmtId="0" fontId="6" fillId="4" borderId="20" xfId="0" applyFont="1" applyFill="1" applyBorder="1" applyAlignment="1">
      <alignment horizontal="left" vertical="center" indent="3"/>
    </xf>
    <xf numFmtId="0" fontId="6" fillId="4" borderId="16" xfId="0" applyFont="1" applyFill="1" applyBorder="1" applyAlignment="1">
      <alignment horizontal="left" vertical="center" indent="3"/>
    </xf>
    <xf numFmtId="9" fontId="6" fillId="0" borderId="21" xfId="0" applyNumberFormat="1" applyFont="1" applyBorder="1" applyAlignment="1">
      <alignment horizontal="center" vertical="center"/>
    </xf>
    <xf numFmtId="0" fontId="6" fillId="4" borderId="22" xfId="0" applyFont="1" applyFill="1" applyBorder="1" applyAlignment="1">
      <alignment horizontal="left" vertical="center" indent="3"/>
    </xf>
    <xf numFmtId="0" fontId="6" fillId="4" borderId="23" xfId="0" applyFont="1" applyFill="1" applyBorder="1" applyAlignment="1">
      <alignment horizontal="left" vertical="center" indent="3"/>
    </xf>
    <xf numFmtId="165" fontId="6" fillId="0" borderId="24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0" borderId="17" xfId="0" applyFont="1" applyBorder="1" applyAlignment="1">
      <alignment horizontal="left" vertical="center" indent="3"/>
    </xf>
    <xf numFmtId="0" fontId="6" fillId="0" borderId="18" xfId="0" applyFont="1" applyBorder="1" applyAlignment="1">
      <alignment horizontal="left" vertical="center" indent="3"/>
    </xf>
    <xf numFmtId="0" fontId="6" fillId="0" borderId="20" xfId="0" applyFont="1" applyBorder="1" applyAlignment="1">
      <alignment horizontal="left" vertical="center" indent="3"/>
    </xf>
    <xf numFmtId="0" fontId="6" fillId="0" borderId="16" xfId="0" applyFont="1" applyBorder="1" applyAlignment="1">
      <alignment horizontal="left" vertical="center" indent="3"/>
    </xf>
    <xf numFmtId="0" fontId="6" fillId="0" borderId="21" xfId="0" applyFont="1" applyBorder="1" applyAlignment="1">
      <alignment horizontal="center" vertical="center"/>
    </xf>
    <xf numFmtId="10" fontId="6" fillId="0" borderId="21" xfId="0" applyNumberFormat="1" applyFont="1" applyBorder="1" applyAlignment="1">
      <alignment horizontal="center" vertical="center"/>
    </xf>
    <xf numFmtId="0" fontId="8" fillId="3" borderId="20" xfId="0" applyFont="1" applyFill="1" applyBorder="1" applyAlignment="1">
      <alignment horizontal="left" vertical="center" wrapText="1" indent="3"/>
    </xf>
    <xf numFmtId="0" fontId="8" fillId="3" borderId="16" xfId="0" applyFont="1" applyFill="1" applyBorder="1" applyAlignment="1">
      <alignment horizontal="left" vertical="center" wrapText="1" indent="3"/>
    </xf>
    <xf numFmtId="165" fontId="8" fillId="3" borderId="21" xfId="0" applyNumberFormat="1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left" vertical="center" indent="3"/>
    </xf>
    <xf numFmtId="0" fontId="8" fillId="3" borderId="23" xfId="0" applyFont="1" applyFill="1" applyBorder="1" applyAlignment="1">
      <alignment horizontal="left" vertical="center" indent="3"/>
    </xf>
    <xf numFmtId="165" fontId="8" fillId="3" borderId="24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8" fontId="9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indent="3"/>
    </xf>
    <xf numFmtId="165" fontId="6" fillId="0" borderId="7" xfId="0" applyNumberFormat="1" applyFont="1" applyBorder="1" applyAlignment="1">
      <alignment horizontal="center" vertical="center"/>
    </xf>
    <xf numFmtId="165" fontId="6" fillId="0" borderId="10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indent="3"/>
    </xf>
    <xf numFmtId="165" fontId="6" fillId="0" borderId="8" xfId="0" applyNumberFormat="1" applyFont="1" applyBorder="1" applyAlignment="1">
      <alignment horizontal="center" vertical="center"/>
    </xf>
    <xf numFmtId="165" fontId="6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 indent="3"/>
    </xf>
    <xf numFmtId="165" fontId="6" fillId="0" borderId="14" xfId="0" applyNumberFormat="1" applyFont="1" applyBorder="1" applyAlignment="1">
      <alignment horizontal="center" vertical="center"/>
    </xf>
    <xf numFmtId="165" fontId="6" fillId="0" borderId="15" xfId="0" applyNumberFormat="1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0" fillId="5" borderId="0" xfId="0" applyFont="1" applyFill="1"/>
    <xf numFmtId="0" fontId="0" fillId="6" borderId="0" xfId="0" applyFill="1"/>
    <xf numFmtId="0" fontId="0" fillId="6" borderId="0" xfId="0" applyFill="1" applyAlignment="1">
      <alignment horizontal="center" vertical="center"/>
    </xf>
    <xf numFmtId="165" fontId="0" fillId="3" borderId="0" xfId="0" applyNumberFormat="1" applyFill="1"/>
    <xf numFmtId="0" fontId="0" fillId="3" borderId="0" xfId="0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/>
    </xf>
    <xf numFmtId="165" fontId="0" fillId="6" borderId="0" xfId="0" applyNumberFormat="1" applyFill="1" applyAlignment="1">
      <alignment horizontal="center" vertical="center"/>
    </xf>
    <xf numFmtId="0" fontId="0" fillId="0" borderId="25" xfId="0" applyBorder="1"/>
    <xf numFmtId="0" fontId="0" fillId="0" borderId="25" xfId="0" applyBorder="1" applyAlignment="1">
      <alignment horizontal="center"/>
    </xf>
    <xf numFmtId="9" fontId="0" fillId="0" borderId="25" xfId="0" applyNumberFormat="1" applyBorder="1"/>
    <xf numFmtId="0" fontId="0" fillId="0" borderId="0" xfId="0" applyBorder="1"/>
    <xf numFmtId="0" fontId="0" fillId="0" borderId="0" xfId="0" applyBorder="1" applyAlignment="1">
      <alignment horizontal="center"/>
    </xf>
    <xf numFmtId="9" fontId="0" fillId="0" borderId="0" xfId="0" applyNumberFormat="1" applyBorder="1"/>
    <xf numFmtId="0" fontId="0" fillId="0" borderId="26" xfId="0" applyBorder="1"/>
    <xf numFmtId="0" fontId="0" fillId="0" borderId="26" xfId="0" applyBorder="1" applyAlignment="1">
      <alignment horizontal="center"/>
    </xf>
    <xf numFmtId="9" fontId="0" fillId="0" borderId="26" xfId="0" applyNumberFormat="1" applyBorder="1"/>
    <xf numFmtId="0" fontId="2" fillId="3" borderId="0" xfId="0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Planilha1!$C$36:$C$41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1-47D6-9199-57136DCE2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</xdr:colOff>
      <xdr:row>0</xdr:row>
      <xdr:rowOff>122510</xdr:rowOff>
    </xdr:from>
    <xdr:to>
      <xdr:col>4</xdr:col>
      <xdr:colOff>0</xdr:colOff>
      <xdr:row>7</xdr:row>
      <xdr:rowOff>81775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C235F9A-A6F8-0397-EC7F-44CE1F7C5E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69" t="18669" r="5226" b="18270"/>
        <a:stretch>
          <a:fillRect/>
        </a:stretch>
      </xdr:blipFill>
      <xdr:spPr>
        <a:xfrm>
          <a:off x="437030" y="122510"/>
          <a:ext cx="5894294" cy="129276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1</xdr:col>
      <xdr:colOff>50426</xdr:colOff>
      <xdr:row>43</xdr:row>
      <xdr:rowOff>45943</xdr:rowOff>
    </xdr:from>
    <xdr:to>
      <xdr:col>3</xdr:col>
      <xdr:colOff>263337</xdr:colOff>
      <xdr:row>58</xdr:row>
      <xdr:rowOff>99732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A16B67C-DACC-B497-DC51-779C667F17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DCEA1-6CD7-4E72-A138-F2B6D93C5581}">
  <dimension ref="A1:XFD64"/>
  <sheetViews>
    <sheetView showGridLines="0" tabSelected="1" zoomScale="85" zoomScaleNormal="85" workbookViewId="0">
      <selection activeCell="E11" sqref="E11"/>
    </sheetView>
  </sheetViews>
  <sheetFormatPr defaultColWidth="0" defaultRowHeight="15" zeroHeight="1" x14ac:dyDescent="0.25"/>
  <cols>
    <col min="1" max="1" width="6.5703125" customWidth="1"/>
    <col min="2" max="2" width="43" customWidth="1"/>
    <col min="3" max="3" width="22.28515625" bestFit="1" customWidth="1"/>
    <col min="4" max="4" width="23" style="6" bestFit="1" customWidth="1"/>
    <col min="5" max="5" width="6.42578125" customWidth="1"/>
    <col min="6" max="6" width="10.5703125" hidden="1" customWidth="1"/>
    <col min="7" max="7" width="12.140625" hidden="1" customWidth="1"/>
    <col min="8" max="9" width="9.140625" hidden="1" customWidth="1"/>
    <col min="10" max="16383" width="9.140625" hidden="1"/>
    <col min="16384" max="16384" width="3.5703125" hidden="1" customWidth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ht="15.75" thickBot="1" x14ac:dyDescent="0.3"/>
    <row r="9" spans="2:4" ht="27" thickBot="1" x14ac:dyDescent="0.3">
      <c r="B9" s="7" t="s">
        <v>14</v>
      </c>
      <c r="C9" s="8"/>
      <c r="D9" s="9"/>
    </row>
    <row r="10" spans="2:4" ht="17.25" x14ac:dyDescent="0.25">
      <c r="B10" s="10" t="s">
        <v>16</v>
      </c>
      <c r="C10" s="11"/>
      <c r="D10" s="12">
        <v>2600</v>
      </c>
    </row>
    <row r="11" spans="2:4" ht="17.25" x14ac:dyDescent="0.25">
      <c r="B11" s="13" t="s">
        <v>15</v>
      </c>
      <c r="C11" s="14"/>
      <c r="D11" s="15">
        <v>0.01</v>
      </c>
    </row>
    <row r="12" spans="2:4" ht="18" thickBot="1" x14ac:dyDescent="0.3">
      <c r="B12" s="16" t="s">
        <v>17</v>
      </c>
      <c r="C12" s="17"/>
      <c r="D12" s="18">
        <f>D10*30%</f>
        <v>780</v>
      </c>
    </row>
    <row r="13" spans="2:4" ht="17.25" thickBot="1" x14ac:dyDescent="0.3">
      <c r="B13" s="19"/>
      <c r="C13" s="19"/>
      <c r="D13" s="20"/>
    </row>
    <row r="14" spans="2:4" s="1" customFormat="1" ht="26.25" customHeight="1" thickBot="1" x14ac:dyDescent="0.4">
      <c r="B14" s="21" t="s">
        <v>0</v>
      </c>
      <c r="C14" s="22"/>
      <c r="D14" s="23"/>
    </row>
    <row r="15" spans="2:4" ht="17.25" x14ac:dyDescent="0.25">
      <c r="B15" s="24" t="s">
        <v>1</v>
      </c>
      <c r="C15" s="25"/>
      <c r="D15" s="12">
        <f>sugestao_investimento</f>
        <v>780</v>
      </c>
    </row>
    <row r="16" spans="2:4" ht="17.25" x14ac:dyDescent="0.25">
      <c r="B16" s="26" t="s">
        <v>2</v>
      </c>
      <c r="C16" s="27"/>
      <c r="D16" s="28">
        <v>5</v>
      </c>
    </row>
    <row r="17" spans="1:5" ht="17.25" x14ac:dyDescent="0.25">
      <c r="B17" s="26" t="s">
        <v>3</v>
      </c>
      <c r="C17" s="27"/>
      <c r="D17" s="29">
        <v>1.0789999999999999E-2</v>
      </c>
    </row>
    <row r="18" spans="1:5" ht="17.25" x14ac:dyDescent="0.25">
      <c r="B18" s="30" t="s">
        <v>4</v>
      </c>
      <c r="C18" s="31"/>
      <c r="D18" s="32">
        <f>FV(taxa_mensal,quantidade_anos*12,Aporte)*-1</f>
        <v>65345.992918820361</v>
      </c>
    </row>
    <row r="19" spans="1:5" ht="18" thickBot="1" x14ac:dyDescent="0.3">
      <c r="B19" s="33" t="s">
        <v>5</v>
      </c>
      <c r="C19" s="34"/>
      <c r="D19" s="35">
        <f>D18*1%</f>
        <v>653.45992918820366</v>
      </c>
    </row>
    <row r="20" spans="1:5" s="2" customFormat="1" ht="23.25" customHeight="1" thickBot="1" x14ac:dyDescent="0.3">
      <c r="B20" s="36"/>
      <c r="C20" s="37"/>
      <c r="D20" s="38"/>
    </row>
    <row r="21" spans="1:5" ht="26.25" x14ac:dyDescent="0.25">
      <c r="B21" s="21" t="s">
        <v>12</v>
      </c>
      <c r="C21" s="22"/>
      <c r="D21" s="39" t="s">
        <v>13</v>
      </c>
    </row>
    <row r="22" spans="1:5" ht="17.25" x14ac:dyDescent="0.25">
      <c r="A22" s="3">
        <v>2</v>
      </c>
      <c r="B22" s="40" t="s">
        <v>6</v>
      </c>
      <c r="C22" s="41">
        <f>FV($D$17,$A22*12,$D$15)*-1</f>
        <v>21237.549292163269</v>
      </c>
      <c r="D22" s="42">
        <f>C22*Rendimento_Carteira</f>
        <v>212.37549292163268</v>
      </c>
    </row>
    <row r="23" spans="1:5" ht="17.25" x14ac:dyDescent="0.25">
      <c r="A23" s="3">
        <v>5</v>
      </c>
      <c r="B23" s="43" t="s">
        <v>7</v>
      </c>
      <c r="C23" s="44">
        <f>FV($D$17,$A23*12,$D$15)*-1</f>
        <v>65345.992918820361</v>
      </c>
      <c r="D23" s="45">
        <f>C23*Rendimento_Carteira</f>
        <v>653.45992918820366</v>
      </c>
    </row>
    <row r="24" spans="1:5" ht="17.25" x14ac:dyDescent="0.25">
      <c r="A24" s="3">
        <v>10</v>
      </c>
      <c r="B24" s="43" t="s">
        <v>8</v>
      </c>
      <c r="C24" s="44">
        <f>FV($D$17,$A24*12,$D$15)*-1</f>
        <v>189761.68577353432</v>
      </c>
      <c r="D24" s="45">
        <f>C24*Rendimento_Carteira</f>
        <v>1897.6168577353433</v>
      </c>
    </row>
    <row r="25" spans="1:5" ht="17.25" x14ac:dyDescent="0.25">
      <c r="A25" s="3">
        <v>15</v>
      </c>
      <c r="B25" s="43" t="s">
        <v>9</v>
      </c>
      <c r="C25" s="44">
        <f>FV($D$17,$A25*12,$D$15)*-1</f>
        <v>426643.30524404231</v>
      </c>
      <c r="D25" s="45">
        <f>C25*Rendimento_Carteira</f>
        <v>4266.4330524404231</v>
      </c>
    </row>
    <row r="26" spans="1:5" ht="17.25" x14ac:dyDescent="0.25">
      <c r="A26" s="3">
        <v>20</v>
      </c>
      <c r="B26" s="43" t="s">
        <v>10</v>
      </c>
      <c r="C26" s="44">
        <f>FV($D$17,$A26*12,$D$15)*-1</f>
        <v>877654.75207572291</v>
      </c>
      <c r="D26" s="45">
        <f>C26*Rendimento_Carteira</f>
        <v>8776.547520757229</v>
      </c>
      <c r="E26" t="s">
        <v>18</v>
      </c>
    </row>
    <row r="27" spans="1:5" ht="18" thickBot="1" x14ac:dyDescent="0.3">
      <c r="A27" s="3">
        <v>30</v>
      </c>
      <c r="B27" s="46" t="s">
        <v>11</v>
      </c>
      <c r="C27" s="47">
        <f>FV($D$17,$A27*12,$D$15)*-1</f>
        <v>3371292.3309036773</v>
      </c>
      <c r="D27" s="48">
        <f>C27*Rendimento_Carteira</f>
        <v>33712.923309036771</v>
      </c>
    </row>
    <row r="28" spans="1:5" ht="14.25" customHeight="1" x14ac:dyDescent="0.25"/>
    <row r="29" spans="1:5" ht="14.25" customHeight="1" x14ac:dyDescent="0.25"/>
    <row r="30" spans="1:5" ht="14.25" customHeight="1" x14ac:dyDescent="0.25"/>
    <row r="31" spans="1:5" ht="14.25" customHeight="1" x14ac:dyDescent="0.25"/>
    <row r="32" spans="1:5" ht="14.25" customHeight="1" x14ac:dyDescent="0.25">
      <c r="B32" s="50" t="s">
        <v>20</v>
      </c>
      <c r="C32" s="50" t="s">
        <v>21</v>
      </c>
      <c r="D32" s="49"/>
    </row>
    <row r="33" spans="2:4" customFormat="1" ht="14.25" customHeight="1" x14ac:dyDescent="0.25">
      <c r="B33" s="67" t="s">
        <v>23</v>
      </c>
      <c r="C33" s="53">
        <f>Aporte</f>
        <v>780</v>
      </c>
      <c r="D33" s="54"/>
    </row>
    <row r="34" spans="2:4" customFormat="1" ht="14.25" customHeight="1" x14ac:dyDescent="0.25">
      <c r="D34" s="6"/>
    </row>
    <row r="35" spans="2:4" customFormat="1" ht="14.25" customHeight="1" x14ac:dyDescent="0.25">
      <c r="B35" s="56" t="s">
        <v>24</v>
      </c>
      <c r="C35" s="51" t="s">
        <v>32</v>
      </c>
      <c r="D35" s="52" t="s">
        <v>31</v>
      </c>
    </row>
    <row r="36" spans="2:4" customFormat="1" ht="14.25" customHeight="1" x14ac:dyDescent="0.25">
      <c r="B36" s="4" t="s">
        <v>25</v>
      </c>
      <c r="C36" s="5">
        <f>VLOOKUP($C$32&amp;"-"&amp;B36,Planilha2!$A$2:$D$20,4,FALSE)</f>
        <v>0.3</v>
      </c>
      <c r="D36" s="55">
        <f>C36*$C$33</f>
        <v>234</v>
      </c>
    </row>
    <row r="37" spans="2:4" customFormat="1" ht="14.25" customHeight="1" x14ac:dyDescent="0.25">
      <c r="B37" s="4" t="s">
        <v>26</v>
      </c>
      <c r="C37" s="5">
        <f>VLOOKUP($C$32&amp;"-"&amp;B37,Planilha2!$A$2:$D$20,4,FALSE)</f>
        <v>0.5</v>
      </c>
      <c r="D37" s="55">
        <f t="shared" ref="D37:D41" si="0">C37*$C$33</f>
        <v>390</v>
      </c>
    </row>
    <row r="38" spans="2:4" customFormat="1" ht="14.25" customHeight="1" x14ac:dyDescent="0.25">
      <c r="B38" s="4" t="s">
        <v>27</v>
      </c>
      <c r="C38" s="5">
        <f>VLOOKUP($C$32&amp;"-"&amp;B38,Planilha2!$A$2:$D$20,4,FALSE)</f>
        <v>0.1</v>
      </c>
      <c r="D38" s="55">
        <f t="shared" si="0"/>
        <v>78</v>
      </c>
    </row>
    <row r="39" spans="2:4" customFormat="1" ht="14.25" customHeight="1" x14ac:dyDescent="0.25">
      <c r="B39" s="4" t="s">
        <v>28</v>
      </c>
      <c r="C39" s="5">
        <f>VLOOKUP($C$32&amp;"-"&amp;B39,Planilha2!$A$2:$D$20,4,FALSE)</f>
        <v>0.1</v>
      </c>
      <c r="D39" s="55">
        <f t="shared" si="0"/>
        <v>78</v>
      </c>
    </row>
    <row r="40" spans="2:4" customFormat="1" ht="14.25" customHeight="1" x14ac:dyDescent="0.25">
      <c r="B40" s="4" t="s">
        <v>29</v>
      </c>
      <c r="C40" s="5">
        <f>VLOOKUP($C$32&amp;"-"&amp;B40,Planilha2!$A$2:$D$20,4,FALSE)</f>
        <v>0</v>
      </c>
      <c r="D40" s="55">
        <f t="shared" si="0"/>
        <v>0</v>
      </c>
    </row>
    <row r="41" spans="2:4" customFormat="1" ht="14.25" customHeight="1" x14ac:dyDescent="0.25">
      <c r="B41" s="4" t="s">
        <v>30</v>
      </c>
      <c r="C41" s="5">
        <f>VLOOKUP($C$32&amp;"-"&amp;B41,Planilha2!$A$2:$D$20,4,FALSE)</f>
        <v>0</v>
      </c>
      <c r="D41" s="55">
        <f t="shared" si="0"/>
        <v>0</v>
      </c>
    </row>
    <row r="42" spans="2:4" customFormat="1" ht="14.25" customHeight="1" x14ac:dyDescent="0.25">
      <c r="B42" s="51"/>
      <c r="C42" s="51"/>
      <c r="D42" s="57">
        <f>SUM(D36:D41)</f>
        <v>780</v>
      </c>
    </row>
    <row r="43" spans="2:4" customFormat="1" ht="14.25" customHeight="1" x14ac:dyDescent="0.25">
      <c r="D43" s="6"/>
    </row>
    <row r="44" spans="2:4" customFormat="1" ht="14.25" customHeight="1" x14ac:dyDescent="0.25">
      <c r="D44" s="6"/>
    </row>
    <row r="45" spans="2:4" customFormat="1" ht="14.25" customHeight="1" x14ac:dyDescent="0.25">
      <c r="D45" s="6"/>
    </row>
    <row r="46" spans="2:4" customFormat="1" ht="14.25" customHeight="1" x14ac:dyDescent="0.25">
      <c r="D46" s="6"/>
    </row>
    <row r="47" spans="2:4" customFormat="1" ht="14.25" customHeight="1" x14ac:dyDescent="0.25">
      <c r="D47" s="6"/>
    </row>
    <row r="48" spans="2:4" customFormat="1" ht="14.25" customHeight="1" x14ac:dyDescent="0.25">
      <c r="D48" s="6"/>
    </row>
    <row r="49" spans="4:4" customFormat="1" ht="14.25" customHeight="1" x14ac:dyDescent="0.25">
      <c r="D49" s="6"/>
    </row>
    <row r="50" spans="4:4" customFormat="1" ht="14.25" customHeight="1" x14ac:dyDescent="0.25">
      <c r="D50" s="6"/>
    </row>
    <row r="51" spans="4:4" customFormat="1" ht="14.25" customHeight="1" x14ac:dyDescent="0.25">
      <c r="D51" s="6"/>
    </row>
    <row r="52" spans="4:4" customFormat="1" ht="14.25" customHeight="1" x14ac:dyDescent="0.25">
      <c r="D52" s="6"/>
    </row>
    <row r="53" spans="4:4" customFormat="1" ht="14.25" customHeight="1" x14ac:dyDescent="0.25">
      <c r="D53" s="6"/>
    </row>
    <row r="54" spans="4:4" customFormat="1" ht="14.25" customHeight="1" x14ac:dyDescent="0.25">
      <c r="D54" s="6"/>
    </row>
    <row r="55" spans="4:4" customFormat="1" ht="14.25" customHeight="1" x14ac:dyDescent="0.25">
      <c r="D55" s="6"/>
    </row>
    <row r="56" spans="4:4" customFormat="1" ht="14.25" customHeight="1" x14ac:dyDescent="0.25">
      <c r="D56" s="6"/>
    </row>
    <row r="57" spans="4:4" customFormat="1" ht="14.25" customHeight="1" x14ac:dyDescent="0.25">
      <c r="D57" s="6"/>
    </row>
    <row r="58" spans="4:4" customFormat="1" ht="14.25" customHeight="1" x14ac:dyDescent="0.25">
      <c r="D58" s="6"/>
    </row>
    <row r="59" spans="4:4" customFormat="1" ht="14.25" customHeight="1" x14ac:dyDescent="0.25">
      <c r="D59" s="6"/>
    </row>
    <row r="60" spans="4:4" customFormat="1" ht="14.25" customHeight="1" x14ac:dyDescent="0.25">
      <c r="D60" s="6"/>
    </row>
    <row r="61" spans="4:4" customFormat="1" ht="14.25" customHeight="1" x14ac:dyDescent="0.25">
      <c r="D61" s="6"/>
    </row>
    <row r="62" spans="4:4" customFormat="1" x14ac:dyDescent="0.25">
      <c r="D62" s="6"/>
    </row>
    <row r="63" spans="4:4" customFormat="1" hidden="1" x14ac:dyDescent="0.25">
      <c r="D63" s="6"/>
    </row>
    <row r="64" spans="4:4" customFormat="1" hidden="1" x14ac:dyDescent="0.25">
      <c r="D64" s="6"/>
    </row>
  </sheetData>
  <mergeCells count="10">
    <mergeCell ref="B15:C15"/>
    <mergeCell ref="B16:C16"/>
    <mergeCell ref="B17:C17"/>
    <mergeCell ref="B18:C18"/>
    <mergeCell ref="B19:C19"/>
    <mergeCell ref="B14:D14"/>
    <mergeCell ref="B21:C21"/>
    <mergeCell ref="B10:C10"/>
    <mergeCell ref="B11:C11"/>
    <mergeCell ref="B12:C12"/>
  </mergeCells>
  <dataValidations count="1">
    <dataValidation type="list" allowBlank="1" showInputMessage="1" showErrorMessage="1" sqref="C32" xr:uid="{C2860BBD-5727-4F3A-88BF-75FDF0E1D129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65E87-E791-4746-B20F-FA2C036E2E1D}">
  <dimension ref="A2:G20"/>
  <sheetViews>
    <sheetView workbookViewId="0">
      <selection activeCell="F17" sqref="F17"/>
    </sheetView>
  </sheetViews>
  <sheetFormatPr defaultRowHeight="15" x14ac:dyDescent="0.25"/>
  <cols>
    <col min="1" max="1" width="24.42578125" bestFit="1" customWidth="1"/>
    <col min="2" max="2" width="12.140625" bestFit="1" customWidth="1"/>
    <col min="3" max="3" width="19" bestFit="1" customWidth="1"/>
    <col min="6" max="6" width="19.140625" bestFit="1" customWidth="1"/>
  </cols>
  <sheetData>
    <row r="2" spans="1:7" x14ac:dyDescent="0.25">
      <c r="A2" s="6" t="s">
        <v>35</v>
      </c>
      <c r="B2" s="6" t="s">
        <v>33</v>
      </c>
      <c r="C2" s="52" t="s">
        <v>24</v>
      </c>
      <c r="D2" s="6" t="s">
        <v>34</v>
      </c>
    </row>
    <row r="3" spans="1:7" x14ac:dyDescent="0.25">
      <c r="A3" t="str">
        <f>B3&amp;"-"&amp;C3</f>
        <v>Conservador-PAPEL</v>
      </c>
      <c r="B3" t="s">
        <v>21</v>
      </c>
      <c r="C3" s="4" t="s">
        <v>25</v>
      </c>
      <c r="D3" s="5">
        <v>0.3</v>
      </c>
      <c r="F3" t="str">
        <f>A4</f>
        <v>Conservador-TIJOLO</v>
      </c>
      <c r="G3">
        <f>VLOOKUP(F3,A2:D20,4,FALSE)</f>
        <v>0.5</v>
      </c>
    </row>
    <row r="4" spans="1:7" x14ac:dyDescent="0.25">
      <c r="A4" t="str">
        <f t="shared" ref="A4:A8" si="0">B4&amp;"-"&amp;C4</f>
        <v>Conservador-TIJOLO</v>
      </c>
      <c r="B4" t="s">
        <v>21</v>
      </c>
      <c r="C4" s="4" t="s">
        <v>26</v>
      </c>
      <c r="D4" s="5">
        <v>0.5</v>
      </c>
      <c r="F4" t="s">
        <v>22</v>
      </c>
      <c r="G4" t="e">
        <f>VLOOKUP(F4,A3:D21,4,FALSE)</f>
        <v>#N/A</v>
      </c>
    </row>
    <row r="5" spans="1:7" x14ac:dyDescent="0.25">
      <c r="A5" t="str">
        <f t="shared" si="0"/>
        <v>Conservador-HIBRIDOS</v>
      </c>
      <c r="B5" t="s">
        <v>21</v>
      </c>
      <c r="C5" s="4" t="s">
        <v>27</v>
      </c>
      <c r="D5" s="5">
        <v>0.1</v>
      </c>
    </row>
    <row r="6" spans="1:7" x14ac:dyDescent="0.25">
      <c r="A6" t="str">
        <f t="shared" si="0"/>
        <v>Conservador-FOFs</v>
      </c>
      <c r="B6" t="s">
        <v>21</v>
      </c>
      <c r="C6" s="4" t="s">
        <v>28</v>
      </c>
      <c r="D6" s="5">
        <v>0.1</v>
      </c>
    </row>
    <row r="7" spans="1:7" x14ac:dyDescent="0.25">
      <c r="A7" t="str">
        <f t="shared" si="0"/>
        <v>Conservador-DESENVOLVIMENTO</v>
      </c>
      <c r="B7" t="s">
        <v>21</v>
      </c>
      <c r="C7" s="4" t="s">
        <v>29</v>
      </c>
      <c r="D7" s="5">
        <v>0</v>
      </c>
    </row>
    <row r="8" spans="1:7" x14ac:dyDescent="0.25">
      <c r="A8" t="str">
        <f t="shared" si="0"/>
        <v>Conservador-HOTELARIAS</v>
      </c>
      <c r="B8" t="s">
        <v>21</v>
      </c>
      <c r="C8" s="4" t="s">
        <v>30</v>
      </c>
      <c r="D8" s="5">
        <v>0</v>
      </c>
    </row>
    <row r="9" spans="1:7" x14ac:dyDescent="0.25">
      <c r="A9" s="58" t="str">
        <f>B9&amp;"-"&amp;C3</f>
        <v>Moderado-PAPEL</v>
      </c>
      <c r="B9" s="58" t="s">
        <v>22</v>
      </c>
      <c r="C9" s="59" t="s">
        <v>25</v>
      </c>
      <c r="D9" s="60">
        <v>0.32</v>
      </c>
    </row>
    <row r="10" spans="1:7" x14ac:dyDescent="0.25">
      <c r="A10" s="61" t="str">
        <f>B10&amp;"-"&amp;C4</f>
        <v>Moderado-TIJOLO</v>
      </c>
      <c r="B10" s="61" t="s">
        <v>22</v>
      </c>
      <c r="C10" s="62" t="s">
        <v>26</v>
      </c>
      <c r="D10" s="63">
        <v>0.35</v>
      </c>
    </row>
    <row r="11" spans="1:7" x14ac:dyDescent="0.25">
      <c r="A11" s="61" t="str">
        <f>B11&amp;"-"&amp;C5</f>
        <v>Moderado-HIBRIDOS</v>
      </c>
      <c r="B11" s="61" t="s">
        <v>22</v>
      </c>
      <c r="C11" s="62" t="s">
        <v>27</v>
      </c>
      <c r="D11" s="63">
        <v>0.08</v>
      </c>
    </row>
    <row r="12" spans="1:7" x14ac:dyDescent="0.25">
      <c r="A12" s="61" t="str">
        <f>B12&amp;"-"&amp;C6</f>
        <v>Moderado-FOFs</v>
      </c>
      <c r="B12" s="61" t="s">
        <v>22</v>
      </c>
      <c r="C12" s="62" t="s">
        <v>28</v>
      </c>
      <c r="D12" s="63">
        <v>0.05</v>
      </c>
    </row>
    <row r="13" spans="1:7" x14ac:dyDescent="0.25">
      <c r="A13" s="61" t="str">
        <f>B13&amp;"-"&amp;C7</f>
        <v>Moderado-DESENVOLVIMENTO</v>
      </c>
      <c r="B13" s="61" t="s">
        <v>22</v>
      </c>
      <c r="C13" s="62" t="s">
        <v>29</v>
      </c>
      <c r="D13" s="63">
        <v>0.1</v>
      </c>
    </row>
    <row r="14" spans="1:7" x14ac:dyDescent="0.25">
      <c r="A14" s="64" t="str">
        <f>B14&amp;"-"&amp;C8</f>
        <v>Moderado-HOTELARIAS</v>
      </c>
      <c r="B14" s="64" t="s">
        <v>22</v>
      </c>
      <c r="C14" s="65" t="s">
        <v>30</v>
      </c>
      <c r="D14" s="66">
        <v>0.1</v>
      </c>
    </row>
    <row r="15" spans="1:7" x14ac:dyDescent="0.25">
      <c r="A15" t="str">
        <f>B15&amp;"-"&amp;C3</f>
        <v>Agressivo-PAPEL</v>
      </c>
      <c r="B15" t="s">
        <v>19</v>
      </c>
      <c r="C15" s="4" t="s">
        <v>25</v>
      </c>
      <c r="D15" s="5">
        <v>0.5</v>
      </c>
    </row>
    <row r="16" spans="1:7" x14ac:dyDescent="0.25">
      <c r="A16" t="str">
        <f>B16&amp;"-"&amp;C4</f>
        <v>Agressivo-TIJOLO</v>
      </c>
      <c r="B16" t="s">
        <v>19</v>
      </c>
      <c r="C16" s="4" t="s">
        <v>26</v>
      </c>
      <c r="D16" s="5">
        <v>0.1</v>
      </c>
    </row>
    <row r="17" spans="1:4" x14ac:dyDescent="0.25">
      <c r="A17" t="str">
        <f>B17&amp;"-"&amp;C5</f>
        <v>Agressivo-HIBRIDOS</v>
      </c>
      <c r="B17" t="s">
        <v>19</v>
      </c>
      <c r="C17" s="4" t="s">
        <v>27</v>
      </c>
      <c r="D17" s="5">
        <v>0.05</v>
      </c>
    </row>
    <row r="18" spans="1:4" x14ac:dyDescent="0.25">
      <c r="A18" t="str">
        <f>B18&amp;"-"&amp;C6</f>
        <v>Agressivo-FOFs</v>
      </c>
      <c r="B18" t="s">
        <v>19</v>
      </c>
      <c r="C18" s="4" t="s">
        <v>28</v>
      </c>
      <c r="D18" s="5">
        <v>0.05</v>
      </c>
    </row>
    <row r="19" spans="1:4" x14ac:dyDescent="0.25">
      <c r="A19" t="str">
        <f>B19&amp;"-"&amp;C7</f>
        <v>Agressivo-DESENVOLVIMENTO</v>
      </c>
      <c r="B19" t="s">
        <v>19</v>
      </c>
      <c r="C19" s="4" t="s">
        <v>29</v>
      </c>
      <c r="D19" s="5">
        <v>0.2</v>
      </c>
    </row>
    <row r="20" spans="1:4" x14ac:dyDescent="0.25">
      <c r="A20" t="str">
        <f>B20&amp;"-"&amp;C8</f>
        <v>Agressivo-HOTELARIAS</v>
      </c>
      <c r="B20" t="s">
        <v>19</v>
      </c>
      <c r="C20" s="4" t="s">
        <v>30</v>
      </c>
      <c r="D20" s="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Planilha1</vt:lpstr>
      <vt:lpstr>Planilha2</vt:lpstr>
      <vt:lpstr>Aporte</vt:lpstr>
      <vt:lpstr>dividentos_mensais</vt:lpstr>
      <vt:lpstr>patrimonio</vt:lpstr>
      <vt:lpstr>quantidade_anos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HENRIQUE DA SILVA SOARES</dc:creator>
  <cp:lastModifiedBy>GEORGE HENRIQUE DA SILVA SOARES</cp:lastModifiedBy>
  <dcterms:created xsi:type="dcterms:W3CDTF">2026-09-16T18:29:08Z</dcterms:created>
  <dcterms:modified xsi:type="dcterms:W3CDTF">2026-09-16T20:58:23Z</dcterms:modified>
</cp:coreProperties>
</file>